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ll\OneDrive\Documents\school\00 GRADUATE\Thesis\03DataVisualization\spearman-correlation-tables\"/>
    </mc:Choice>
  </mc:AlternateContent>
  <xr:revisionPtr revIDLastSave="0" documentId="8_{57D3FA59-E7BC-4F4C-9861-3D1B777620B4}" xr6:coauthVersionLast="47" xr6:coauthVersionMax="47" xr10:uidLastSave="{00000000-0000-0000-0000-000000000000}"/>
  <bookViews>
    <workbookView xWindow="11424" yWindow="0" windowWidth="11712" windowHeight="13776" xr2:uid="{30FF384C-0CF5-405E-8427-A938DF69A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" l="1"/>
  <c r="R26" i="1"/>
  <c r="S26" i="1"/>
  <c r="T26" i="1"/>
  <c r="U26" i="1"/>
  <c r="V26" i="1"/>
  <c r="W26" i="1"/>
  <c r="X26" i="1"/>
  <c r="Y26" i="1"/>
  <c r="Z26" i="1"/>
  <c r="AA26" i="1"/>
  <c r="AB26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Y6" i="1"/>
  <c r="Y7" i="1"/>
  <c r="Y8" i="1"/>
  <c r="Y9" i="1"/>
  <c r="Y10" i="1"/>
  <c r="Y11" i="1"/>
  <c r="Y25" i="1" s="1"/>
  <c r="Y12" i="1"/>
  <c r="Y13" i="1"/>
  <c r="Y14" i="1"/>
  <c r="Y15" i="1"/>
  <c r="Y16" i="1"/>
  <c r="Y17" i="1"/>
  <c r="Y18" i="1"/>
  <c r="Y19" i="1"/>
  <c r="Y20" i="1"/>
  <c r="Y21" i="1"/>
  <c r="Y22" i="1"/>
  <c r="Y23" i="1"/>
  <c r="X6" i="1"/>
  <c r="X7" i="1"/>
  <c r="X8" i="1"/>
  <c r="X25" i="1" s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W6" i="1"/>
  <c r="W8" i="1"/>
  <c r="W10" i="1"/>
  <c r="W13" i="1"/>
  <c r="W14" i="1"/>
  <c r="W15" i="1"/>
  <c r="W18" i="1"/>
  <c r="W20" i="1"/>
  <c r="W23" i="1"/>
  <c r="V6" i="1"/>
  <c r="V7" i="1"/>
  <c r="V8" i="1"/>
  <c r="V9" i="1"/>
  <c r="V10" i="1"/>
  <c r="V11" i="1"/>
  <c r="V25" i="1" s="1"/>
  <c r="V12" i="1"/>
  <c r="V13" i="1"/>
  <c r="V14" i="1"/>
  <c r="V15" i="1"/>
  <c r="V16" i="1"/>
  <c r="V17" i="1"/>
  <c r="V18" i="1"/>
  <c r="V19" i="1"/>
  <c r="V20" i="1"/>
  <c r="V21" i="1"/>
  <c r="V22" i="1"/>
  <c r="V23" i="1"/>
  <c r="U6" i="1"/>
  <c r="U7" i="1"/>
  <c r="U8" i="1"/>
  <c r="U25" i="1" s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T6" i="1"/>
  <c r="T25" i="1" s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R6" i="1"/>
  <c r="R27" i="1" s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5" i="1"/>
  <c r="S5" i="1"/>
  <c r="S27" i="1" s="1"/>
  <c r="T5" i="1"/>
  <c r="T27" i="1" s="1"/>
  <c r="U5" i="1"/>
  <c r="U27" i="1" s="1"/>
  <c r="V5" i="1"/>
  <c r="V27" i="1" s="1"/>
  <c r="X5" i="1"/>
  <c r="Y5" i="1"/>
  <c r="Z5" i="1"/>
  <c r="Z25" i="1" s="1"/>
  <c r="AA5" i="1"/>
  <c r="AA27" i="1" s="1"/>
  <c r="AB5" i="1"/>
  <c r="AB25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5" i="1"/>
  <c r="Q25" i="1" s="1"/>
  <c r="D25" i="1"/>
  <c r="E25" i="1"/>
  <c r="F25" i="1"/>
  <c r="G25" i="1"/>
  <c r="H25" i="1"/>
  <c r="I25" i="1"/>
  <c r="J25" i="1"/>
  <c r="K25" i="1"/>
  <c r="L25" i="1"/>
  <c r="M25" i="1"/>
  <c r="N25" i="1"/>
  <c r="D26" i="1"/>
  <c r="E26" i="1"/>
  <c r="F26" i="1"/>
  <c r="G26" i="1"/>
  <c r="H26" i="1"/>
  <c r="I26" i="1"/>
  <c r="J26" i="1"/>
  <c r="K26" i="1"/>
  <c r="L26" i="1"/>
  <c r="M26" i="1"/>
  <c r="N26" i="1"/>
  <c r="D27" i="1"/>
  <c r="E27" i="1"/>
  <c r="F27" i="1"/>
  <c r="G27" i="1"/>
  <c r="H27" i="1"/>
  <c r="I27" i="1"/>
  <c r="J27" i="1"/>
  <c r="K27" i="1"/>
  <c r="L27" i="1"/>
  <c r="M27" i="1"/>
  <c r="N27" i="1"/>
  <c r="C27" i="1"/>
  <c r="C26" i="1"/>
  <c r="C25" i="1"/>
  <c r="Y27" i="1" l="1"/>
  <c r="W27" i="1"/>
  <c r="AB27" i="1"/>
  <c r="R25" i="1"/>
  <c r="W25" i="1"/>
  <c r="S25" i="1"/>
  <c r="Z27" i="1"/>
  <c r="Q27" i="1"/>
  <c r="X27" i="1"/>
  <c r="AA25" i="1"/>
</calcChain>
</file>

<file path=xl/sharedStrings.xml><?xml version="1.0" encoding="utf-8"?>
<sst xmlns="http://schemas.openxmlformats.org/spreadsheetml/2006/main" count="68" uniqueCount="21">
  <si>
    <t>th</t>
  </si>
  <si>
    <t>sph</t>
  </si>
  <si>
    <t>tmmn</t>
  </si>
  <si>
    <t>elevation</t>
  </si>
  <si>
    <t>tmmx</t>
  </si>
  <si>
    <t>NDVI</t>
  </si>
  <si>
    <t>pr</t>
  </si>
  <si>
    <t>PrevFireMask</t>
  </si>
  <si>
    <t>pdsi</t>
  </si>
  <si>
    <t>population</t>
  </si>
  <si>
    <t>vs</t>
  </si>
  <si>
    <t>erc</t>
  </si>
  <si>
    <t>NaN</t>
  </si>
  <si>
    <t>File</t>
  </si>
  <si>
    <t>Avg</t>
  </si>
  <si>
    <t>Max</t>
  </si>
  <si>
    <t>Min</t>
  </si>
  <si>
    <t>Max abs coeffs</t>
  </si>
  <si>
    <t>Avg abs coeffs</t>
  </si>
  <si>
    <t>RAW DATA: NO ABS</t>
  </si>
  <si>
    <t>ABS VALUE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</si>
</sst>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top"/>
    </xf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AA47-C342-421C-A46C-72BDA81C9B3C}">
  <dimension ref="B3:AB44"/>
  <sheetViews>
    <sheetView tabSelected="1" topLeftCell="A29" zoomScale="98" workbookViewId="0">
      <selection activeCell="B33" sqref="B33:D44"/>
    </sheetView>
  </sheetViews>
  <sheetFormatPr defaultRowHeight="14.4" x14ac:dyDescent="0.3"/>
  <cols>
    <col min="2" max="2" width="11.88671875" customWidth="1"/>
    <col min="3" max="3" width="13.77734375" customWidth="1"/>
    <col min="4" max="4" width="13.88671875" customWidth="1"/>
    <col min="5" max="5" width="12.77734375" customWidth="1"/>
    <col min="6" max="6" width="12.44140625" customWidth="1"/>
    <col min="7" max="7" width="11.33203125" customWidth="1"/>
    <col min="8" max="8" width="11.5546875" customWidth="1"/>
    <col min="9" max="9" width="14.21875" customWidth="1"/>
    <col min="10" max="10" width="10.6640625" customWidth="1"/>
    <col min="11" max="11" width="10.88671875" customWidth="1"/>
    <col min="12" max="12" width="10.6640625" customWidth="1"/>
    <col min="13" max="13" width="12.5546875" customWidth="1"/>
    <col min="14" max="14" width="11.88671875" customWidth="1"/>
  </cols>
  <sheetData>
    <row r="3" spans="2:28" x14ac:dyDescent="0.3">
      <c r="B3" t="s">
        <v>19</v>
      </c>
      <c r="P3" t="s">
        <v>20</v>
      </c>
    </row>
    <row r="4" spans="2:28" x14ac:dyDescent="0.3">
      <c r="B4" s="3" t="s">
        <v>13</v>
      </c>
      <c r="C4" s="3" t="s">
        <v>3</v>
      </c>
      <c r="D4" s="3" t="s">
        <v>0</v>
      </c>
      <c r="E4" s="3" t="s">
        <v>10</v>
      </c>
      <c r="F4" s="3" t="s">
        <v>2</v>
      </c>
      <c r="G4" s="3" t="s">
        <v>4</v>
      </c>
      <c r="H4" s="3" t="s">
        <v>1</v>
      </c>
      <c r="I4" s="3" t="s">
        <v>6</v>
      </c>
      <c r="J4" s="3" t="s">
        <v>8</v>
      </c>
      <c r="K4" s="3" t="s">
        <v>5</v>
      </c>
      <c r="L4" s="3" t="s">
        <v>9</v>
      </c>
      <c r="M4" s="3" t="s">
        <v>11</v>
      </c>
      <c r="N4" s="3" t="s">
        <v>7</v>
      </c>
      <c r="P4" s="3" t="s">
        <v>13</v>
      </c>
      <c r="Q4" s="3" t="s">
        <v>3</v>
      </c>
      <c r="R4" s="3" t="s">
        <v>0</v>
      </c>
      <c r="S4" s="3" t="s">
        <v>10</v>
      </c>
      <c r="T4" s="3" t="s">
        <v>2</v>
      </c>
      <c r="U4" s="3" t="s">
        <v>4</v>
      </c>
      <c r="V4" s="3" t="s">
        <v>1</v>
      </c>
      <c r="W4" s="3" t="s">
        <v>6</v>
      </c>
      <c r="X4" s="3" t="s">
        <v>8</v>
      </c>
      <c r="Y4" s="3" t="s">
        <v>5</v>
      </c>
      <c r="Z4" s="3" t="s">
        <v>9</v>
      </c>
      <c r="AA4" s="3" t="s">
        <v>11</v>
      </c>
      <c r="AB4" s="3" t="s">
        <v>7</v>
      </c>
    </row>
    <row r="5" spans="2:28" x14ac:dyDescent="0.3">
      <c r="B5" s="3">
        <v>0</v>
      </c>
      <c r="C5" s="2">
        <v>0.18467500000000001</v>
      </c>
      <c r="D5" s="2">
        <v>0.141398</v>
      </c>
      <c r="E5" s="2">
        <v>0.12305199999999999</v>
      </c>
      <c r="F5" s="2">
        <v>3.5339999999999998E-3</v>
      </c>
      <c r="G5" s="2">
        <v>-6.2393999999999998E-2</v>
      </c>
      <c r="H5" s="2">
        <v>-9.9489999999999995E-2</v>
      </c>
      <c r="I5" s="2" t="s">
        <v>12</v>
      </c>
      <c r="J5" s="2">
        <v>-0.14610500000000001</v>
      </c>
      <c r="K5" s="2">
        <v>0.14177899999999999</v>
      </c>
      <c r="L5" s="2">
        <v>-5.5218999999999997E-2</v>
      </c>
      <c r="M5" s="2">
        <v>7.6886999999999997E-2</v>
      </c>
      <c r="N5" s="2">
        <v>0.61178100000000002</v>
      </c>
      <c r="P5" s="3">
        <v>0</v>
      </c>
      <c r="Q5" s="2">
        <f>ABS(C5)</f>
        <v>0.18467500000000001</v>
      </c>
      <c r="R5" s="2">
        <f t="shared" ref="R5:AB20" si="0">ABS(D5)</f>
        <v>0.141398</v>
      </c>
      <c r="S5" s="2">
        <f t="shared" si="0"/>
        <v>0.12305199999999999</v>
      </c>
      <c r="T5" s="2">
        <f t="shared" si="0"/>
        <v>3.5339999999999998E-3</v>
      </c>
      <c r="U5" s="2">
        <f t="shared" si="0"/>
        <v>6.2393999999999998E-2</v>
      </c>
      <c r="V5" s="2">
        <f t="shared" si="0"/>
        <v>9.9489999999999995E-2</v>
      </c>
      <c r="W5" s="2" t="s">
        <v>12</v>
      </c>
      <c r="X5" s="2">
        <f t="shared" si="0"/>
        <v>0.14610500000000001</v>
      </c>
      <c r="Y5" s="2">
        <f t="shared" si="0"/>
        <v>0.14177899999999999</v>
      </c>
      <c r="Z5" s="2">
        <f t="shared" si="0"/>
        <v>5.5218999999999997E-2</v>
      </c>
      <c r="AA5" s="2">
        <f t="shared" si="0"/>
        <v>7.6886999999999997E-2</v>
      </c>
      <c r="AB5" s="2">
        <f t="shared" si="0"/>
        <v>0.61178100000000002</v>
      </c>
    </row>
    <row r="6" spans="2:28" x14ac:dyDescent="0.3">
      <c r="B6" s="3">
        <v>1</v>
      </c>
      <c r="C6" s="2">
        <v>1.1956E-2</v>
      </c>
      <c r="D6" s="2">
        <v>-2.3282000000000001E-2</v>
      </c>
      <c r="E6" s="2">
        <v>2.7199999999999998E-2</v>
      </c>
      <c r="F6" s="2">
        <v>-2.9061E-2</v>
      </c>
      <c r="G6" s="2">
        <v>3.3419999999999998E-2</v>
      </c>
      <c r="H6" s="2">
        <v>-2.5177999999999999E-2</v>
      </c>
      <c r="I6" s="2">
        <v>4.3797000000000003E-2</v>
      </c>
      <c r="J6" s="2">
        <v>-2.5322000000000001E-2</v>
      </c>
      <c r="K6" s="2">
        <v>3.8927999999999997E-2</v>
      </c>
      <c r="L6" s="2">
        <v>6.3086000000000003E-2</v>
      </c>
      <c r="M6" s="2">
        <v>2.4722000000000001E-2</v>
      </c>
      <c r="N6" s="2">
        <v>4.5956999999999998E-2</v>
      </c>
      <c r="P6" s="3">
        <v>1</v>
      </c>
      <c r="Q6" s="2">
        <f t="shared" ref="Q6:AB23" si="1">ABS(C6)</f>
        <v>1.1956E-2</v>
      </c>
      <c r="R6" s="2">
        <f t="shared" si="0"/>
        <v>2.3282000000000001E-2</v>
      </c>
      <c r="S6" s="2">
        <f t="shared" si="0"/>
        <v>2.7199999999999998E-2</v>
      </c>
      <c r="T6" s="2">
        <f t="shared" si="0"/>
        <v>2.9061E-2</v>
      </c>
      <c r="U6" s="2">
        <f t="shared" si="0"/>
        <v>3.3419999999999998E-2</v>
      </c>
      <c r="V6" s="2">
        <f t="shared" si="0"/>
        <v>2.5177999999999999E-2</v>
      </c>
      <c r="W6" s="2">
        <f t="shared" si="0"/>
        <v>4.3797000000000003E-2</v>
      </c>
      <c r="X6" s="2">
        <f t="shared" si="0"/>
        <v>2.5322000000000001E-2</v>
      </c>
      <c r="Y6" s="2">
        <f t="shared" si="0"/>
        <v>3.8927999999999997E-2</v>
      </c>
      <c r="Z6" s="2">
        <f t="shared" si="0"/>
        <v>6.3086000000000003E-2</v>
      </c>
      <c r="AA6" s="2">
        <f t="shared" si="0"/>
        <v>2.4722000000000001E-2</v>
      </c>
      <c r="AB6" s="2">
        <f t="shared" si="0"/>
        <v>4.5956999999999998E-2</v>
      </c>
    </row>
    <row r="7" spans="2:28" x14ac:dyDescent="0.3">
      <c r="B7" s="3">
        <v>2</v>
      </c>
      <c r="C7" s="2">
        <v>2.9093999999999998E-2</v>
      </c>
      <c r="D7" s="2">
        <v>2.5560000000000001E-3</v>
      </c>
      <c r="E7" s="2">
        <v>-9.6865000000000007E-2</v>
      </c>
      <c r="F7" s="2">
        <v>2.2716E-2</v>
      </c>
      <c r="G7" s="2">
        <v>4.3163E-2</v>
      </c>
      <c r="H7" s="2">
        <v>6.0769999999999999E-3</v>
      </c>
      <c r="I7" s="2" t="s">
        <v>12</v>
      </c>
      <c r="J7" s="2">
        <v>2.7934E-2</v>
      </c>
      <c r="K7" s="2">
        <v>3.0230000000000001E-3</v>
      </c>
      <c r="L7" s="2">
        <v>5.8084999999999998E-2</v>
      </c>
      <c r="M7" s="2">
        <v>-1.0661E-2</v>
      </c>
      <c r="N7" s="2">
        <v>4.6470000000000001E-3</v>
      </c>
      <c r="P7" s="3">
        <v>2</v>
      </c>
      <c r="Q7" s="2">
        <f t="shared" si="1"/>
        <v>2.9093999999999998E-2</v>
      </c>
      <c r="R7" s="2">
        <f t="shared" si="0"/>
        <v>2.5560000000000001E-3</v>
      </c>
      <c r="S7" s="2">
        <f t="shared" si="0"/>
        <v>9.6865000000000007E-2</v>
      </c>
      <c r="T7" s="2">
        <f t="shared" si="0"/>
        <v>2.2716E-2</v>
      </c>
      <c r="U7" s="2">
        <f t="shared" si="0"/>
        <v>4.3163E-2</v>
      </c>
      <c r="V7" s="2">
        <f t="shared" si="0"/>
        <v>6.0769999999999999E-3</v>
      </c>
      <c r="W7" s="2" t="s">
        <v>12</v>
      </c>
      <c r="X7" s="2">
        <f t="shared" si="0"/>
        <v>2.7934E-2</v>
      </c>
      <c r="Y7" s="2">
        <f t="shared" si="0"/>
        <v>3.0230000000000001E-3</v>
      </c>
      <c r="Z7" s="2">
        <f t="shared" si="0"/>
        <v>5.8084999999999998E-2</v>
      </c>
      <c r="AA7" s="2">
        <f t="shared" si="0"/>
        <v>1.0661E-2</v>
      </c>
      <c r="AB7" s="2">
        <f t="shared" si="0"/>
        <v>4.6470000000000001E-3</v>
      </c>
    </row>
    <row r="8" spans="2:28" x14ac:dyDescent="0.3">
      <c r="B8" s="3">
        <v>3</v>
      </c>
      <c r="C8" s="2">
        <v>-6.3787999999999997E-2</v>
      </c>
      <c r="D8" s="2">
        <v>-3.2955999999999999E-2</v>
      </c>
      <c r="E8" s="2">
        <v>1.2744999999999999E-2</v>
      </c>
      <c r="F8" s="2">
        <v>4.4680999999999998E-2</v>
      </c>
      <c r="G8" s="2">
        <v>6.1441000000000003E-2</v>
      </c>
      <c r="H8" s="2">
        <v>2.1892000000000002E-2</v>
      </c>
      <c r="I8" s="2">
        <v>1.8421E-2</v>
      </c>
      <c r="J8" s="2">
        <v>6.084E-3</v>
      </c>
      <c r="K8" s="2">
        <v>-1.4293999999999999E-2</v>
      </c>
      <c r="L8" s="2">
        <v>-1.1956E-2</v>
      </c>
      <c r="M8" s="2">
        <v>5.1039000000000001E-2</v>
      </c>
      <c r="N8" s="2">
        <v>-8.0000000000000002E-3</v>
      </c>
      <c r="P8" s="3">
        <v>3</v>
      </c>
      <c r="Q8" s="2">
        <f t="shared" si="1"/>
        <v>6.3787999999999997E-2</v>
      </c>
      <c r="R8" s="2">
        <f t="shared" si="0"/>
        <v>3.2955999999999999E-2</v>
      </c>
      <c r="S8" s="2">
        <f t="shared" si="0"/>
        <v>1.2744999999999999E-2</v>
      </c>
      <c r="T8" s="2">
        <f t="shared" si="0"/>
        <v>4.4680999999999998E-2</v>
      </c>
      <c r="U8" s="2">
        <f t="shared" si="0"/>
        <v>6.1441000000000003E-2</v>
      </c>
      <c r="V8" s="2">
        <f t="shared" si="0"/>
        <v>2.1892000000000002E-2</v>
      </c>
      <c r="W8" s="2">
        <f t="shared" si="0"/>
        <v>1.8421E-2</v>
      </c>
      <c r="X8" s="2">
        <f t="shared" si="0"/>
        <v>6.084E-3</v>
      </c>
      <c r="Y8" s="2">
        <f t="shared" si="0"/>
        <v>1.4293999999999999E-2</v>
      </c>
      <c r="Z8" s="2">
        <f t="shared" si="0"/>
        <v>1.1956E-2</v>
      </c>
      <c r="AA8" s="2">
        <f t="shared" si="0"/>
        <v>5.1039000000000001E-2</v>
      </c>
      <c r="AB8" s="2">
        <f t="shared" si="0"/>
        <v>8.0000000000000002E-3</v>
      </c>
    </row>
    <row r="9" spans="2:28" x14ac:dyDescent="0.3">
      <c r="B9" s="3">
        <v>4</v>
      </c>
      <c r="C9" s="2">
        <v>7.8170000000000003E-2</v>
      </c>
      <c r="D9" s="2">
        <v>-6.1837000000000003E-2</v>
      </c>
      <c r="E9" s="2">
        <v>-2.0597000000000001E-2</v>
      </c>
      <c r="F9" s="2">
        <v>-7.8820000000000001E-2</v>
      </c>
      <c r="G9" s="2">
        <v>-0.109074</v>
      </c>
      <c r="H9" s="2">
        <v>-7.4445999999999998E-2</v>
      </c>
      <c r="I9" s="2" t="s">
        <v>12</v>
      </c>
      <c r="J9" s="2">
        <v>-6.6445000000000004E-2</v>
      </c>
      <c r="K9" s="2">
        <v>3.4382000000000003E-2</v>
      </c>
      <c r="L9" s="2">
        <v>-6.5872E-2</v>
      </c>
      <c r="M9" s="2">
        <v>-0.125607</v>
      </c>
      <c r="N9" s="2">
        <v>0.249558</v>
      </c>
      <c r="P9" s="3">
        <v>4</v>
      </c>
      <c r="Q9" s="2">
        <f t="shared" si="1"/>
        <v>7.8170000000000003E-2</v>
      </c>
      <c r="R9" s="2">
        <f t="shared" si="0"/>
        <v>6.1837000000000003E-2</v>
      </c>
      <c r="S9" s="2">
        <f t="shared" si="0"/>
        <v>2.0597000000000001E-2</v>
      </c>
      <c r="T9" s="2">
        <f t="shared" si="0"/>
        <v>7.8820000000000001E-2</v>
      </c>
      <c r="U9" s="2">
        <f t="shared" si="0"/>
        <v>0.109074</v>
      </c>
      <c r="V9" s="2">
        <f t="shared" si="0"/>
        <v>7.4445999999999998E-2</v>
      </c>
      <c r="W9" s="2" t="s">
        <v>12</v>
      </c>
      <c r="X9" s="2">
        <f t="shared" si="0"/>
        <v>6.6445000000000004E-2</v>
      </c>
      <c r="Y9" s="2">
        <f t="shared" si="0"/>
        <v>3.4382000000000003E-2</v>
      </c>
      <c r="Z9" s="2">
        <f t="shared" si="0"/>
        <v>6.5872E-2</v>
      </c>
      <c r="AA9" s="2">
        <f t="shared" si="0"/>
        <v>0.125607</v>
      </c>
      <c r="AB9" s="2">
        <f t="shared" si="0"/>
        <v>0.249558</v>
      </c>
    </row>
    <row r="10" spans="2:28" x14ac:dyDescent="0.3">
      <c r="B10" s="3">
        <v>5</v>
      </c>
      <c r="C10" s="2">
        <v>-0.176401</v>
      </c>
      <c r="D10" s="2">
        <v>0.15435699999999999</v>
      </c>
      <c r="E10" s="2">
        <v>-0.104578</v>
      </c>
      <c r="F10" s="2">
        <v>0.109074</v>
      </c>
      <c r="G10" s="2">
        <v>0.121057</v>
      </c>
      <c r="H10" s="2">
        <v>0.113617</v>
      </c>
      <c r="I10" s="2">
        <v>8.6041999999999993E-2</v>
      </c>
      <c r="J10" s="2">
        <v>0.18248500000000001</v>
      </c>
      <c r="K10" s="2">
        <v>0.151559</v>
      </c>
      <c r="L10" s="2">
        <v>6.6005999999999995E-2</v>
      </c>
      <c r="M10" s="2">
        <v>1.8758E-2</v>
      </c>
      <c r="N10" s="2">
        <v>0.38938299999999998</v>
      </c>
      <c r="P10" s="3">
        <v>5</v>
      </c>
      <c r="Q10" s="2">
        <f t="shared" si="1"/>
        <v>0.176401</v>
      </c>
      <c r="R10" s="2">
        <f t="shared" si="0"/>
        <v>0.15435699999999999</v>
      </c>
      <c r="S10" s="2">
        <f t="shared" si="0"/>
        <v>0.104578</v>
      </c>
      <c r="T10" s="2">
        <f t="shared" si="0"/>
        <v>0.109074</v>
      </c>
      <c r="U10" s="2">
        <f t="shared" si="0"/>
        <v>0.121057</v>
      </c>
      <c r="V10" s="2">
        <f t="shared" si="0"/>
        <v>0.113617</v>
      </c>
      <c r="W10" s="2">
        <f t="shared" si="0"/>
        <v>8.6041999999999993E-2</v>
      </c>
      <c r="X10" s="2">
        <f t="shared" si="0"/>
        <v>0.18248500000000001</v>
      </c>
      <c r="Y10" s="2">
        <f t="shared" si="0"/>
        <v>0.151559</v>
      </c>
      <c r="Z10" s="2">
        <f t="shared" si="0"/>
        <v>6.6005999999999995E-2</v>
      </c>
      <c r="AA10" s="2">
        <f t="shared" si="0"/>
        <v>1.8758E-2</v>
      </c>
      <c r="AB10" s="2">
        <f t="shared" si="0"/>
        <v>0.38938299999999998</v>
      </c>
    </row>
    <row r="11" spans="2:28" x14ac:dyDescent="0.3">
      <c r="B11" s="3">
        <v>6</v>
      </c>
      <c r="C11" s="2">
        <v>0.142517</v>
      </c>
      <c r="D11" s="2">
        <v>9.4945000000000002E-2</v>
      </c>
      <c r="E11" s="2">
        <v>2.3526999999999999E-2</v>
      </c>
      <c r="F11" s="2">
        <v>-7.1859999999999997E-3</v>
      </c>
      <c r="G11" s="2">
        <v>-1.011E-3</v>
      </c>
      <c r="H11" s="2">
        <v>-5.2768000000000002E-2</v>
      </c>
      <c r="I11" s="2" t="s">
        <v>12</v>
      </c>
      <c r="J11" s="2">
        <v>-0.10391300000000001</v>
      </c>
      <c r="K11" s="2">
        <v>0.107488</v>
      </c>
      <c r="L11" s="2">
        <v>-7.9880000000000003E-3</v>
      </c>
      <c r="M11" s="2">
        <v>4.5679999999999998E-2</v>
      </c>
      <c r="N11" s="2">
        <v>0.428232</v>
      </c>
      <c r="P11" s="3">
        <v>6</v>
      </c>
      <c r="Q11" s="2">
        <f t="shared" si="1"/>
        <v>0.142517</v>
      </c>
      <c r="R11" s="2">
        <f t="shared" si="0"/>
        <v>9.4945000000000002E-2</v>
      </c>
      <c r="S11" s="2">
        <f t="shared" si="0"/>
        <v>2.3526999999999999E-2</v>
      </c>
      <c r="T11" s="2">
        <f t="shared" si="0"/>
        <v>7.1859999999999997E-3</v>
      </c>
      <c r="U11" s="2">
        <f t="shared" si="0"/>
        <v>1.011E-3</v>
      </c>
      <c r="V11" s="2">
        <f t="shared" si="0"/>
        <v>5.2768000000000002E-2</v>
      </c>
      <c r="W11" s="2" t="s">
        <v>12</v>
      </c>
      <c r="X11" s="2">
        <f t="shared" si="0"/>
        <v>0.10391300000000001</v>
      </c>
      <c r="Y11" s="2">
        <f t="shared" si="0"/>
        <v>0.107488</v>
      </c>
      <c r="Z11" s="2">
        <f t="shared" si="0"/>
        <v>7.9880000000000003E-3</v>
      </c>
      <c r="AA11" s="2">
        <f t="shared" si="0"/>
        <v>4.5679999999999998E-2</v>
      </c>
      <c r="AB11" s="2">
        <f t="shared" si="0"/>
        <v>0.428232</v>
      </c>
    </row>
    <row r="12" spans="2:28" x14ac:dyDescent="0.3">
      <c r="B12" s="3">
        <v>7</v>
      </c>
      <c r="C12" s="2">
        <v>-1.7942E-2</v>
      </c>
      <c r="D12" s="2">
        <v>-3.2534E-2</v>
      </c>
      <c r="E12" s="2">
        <v>-0.11426600000000001</v>
      </c>
      <c r="F12" s="2">
        <v>0.15554499999999999</v>
      </c>
      <c r="G12" s="2">
        <v>0.12893499999999999</v>
      </c>
      <c r="H12" s="2">
        <v>-1.4577E-2</v>
      </c>
      <c r="I12" s="2" t="s">
        <v>12</v>
      </c>
      <c r="J12" s="2">
        <v>5.1278999999999998E-2</v>
      </c>
      <c r="K12" s="2">
        <v>-1.596E-3</v>
      </c>
      <c r="L12" s="2">
        <v>8.0413999999999999E-2</v>
      </c>
      <c r="M12" s="2">
        <v>6.7079E-2</v>
      </c>
      <c r="N12" s="2">
        <v>0.30501099999999998</v>
      </c>
      <c r="P12" s="3">
        <v>7</v>
      </c>
      <c r="Q12" s="2">
        <f t="shared" si="1"/>
        <v>1.7942E-2</v>
      </c>
      <c r="R12" s="2">
        <f t="shared" si="0"/>
        <v>3.2534E-2</v>
      </c>
      <c r="S12" s="2">
        <f t="shared" si="0"/>
        <v>0.11426600000000001</v>
      </c>
      <c r="T12" s="2">
        <f t="shared" si="0"/>
        <v>0.15554499999999999</v>
      </c>
      <c r="U12" s="2">
        <f t="shared" si="0"/>
        <v>0.12893499999999999</v>
      </c>
      <c r="V12" s="2">
        <f t="shared" si="0"/>
        <v>1.4577E-2</v>
      </c>
      <c r="W12" s="2" t="s">
        <v>12</v>
      </c>
      <c r="X12" s="2">
        <f t="shared" si="0"/>
        <v>5.1278999999999998E-2</v>
      </c>
      <c r="Y12" s="2">
        <f t="shared" si="0"/>
        <v>1.596E-3</v>
      </c>
      <c r="Z12" s="2">
        <f t="shared" si="0"/>
        <v>8.0413999999999999E-2</v>
      </c>
      <c r="AA12" s="2">
        <f t="shared" si="0"/>
        <v>6.7079E-2</v>
      </c>
      <c r="AB12" s="2">
        <f t="shared" si="0"/>
        <v>0.30501099999999998</v>
      </c>
    </row>
    <row r="13" spans="2:28" x14ac:dyDescent="0.3">
      <c r="B13" s="3">
        <v>8</v>
      </c>
      <c r="C13" s="2">
        <v>0.115721</v>
      </c>
      <c r="D13" s="2">
        <v>-9.8485000000000003E-2</v>
      </c>
      <c r="E13" s="2">
        <v>-9.5491000000000006E-2</v>
      </c>
      <c r="F13" s="2">
        <v>5.6044999999999998E-2</v>
      </c>
      <c r="G13" s="2">
        <v>-9.6198000000000006E-2</v>
      </c>
      <c r="H13" s="2">
        <v>-9.8433000000000007E-2</v>
      </c>
      <c r="I13" s="2">
        <v>0.11260299999999999</v>
      </c>
      <c r="J13" s="2">
        <v>3.9952000000000001E-2</v>
      </c>
      <c r="K13" s="2">
        <v>1.7915E-2</v>
      </c>
      <c r="L13" s="2">
        <v>2.3466000000000001E-2</v>
      </c>
      <c r="M13" s="2">
        <v>3.2200000000000002E-3</v>
      </c>
      <c r="N13" s="2">
        <v>1.939E-3</v>
      </c>
      <c r="P13" s="3">
        <v>8</v>
      </c>
      <c r="Q13" s="2">
        <f t="shared" si="1"/>
        <v>0.115721</v>
      </c>
      <c r="R13" s="2">
        <f t="shared" si="0"/>
        <v>9.8485000000000003E-2</v>
      </c>
      <c r="S13" s="2">
        <f t="shared" si="0"/>
        <v>9.5491000000000006E-2</v>
      </c>
      <c r="T13" s="2">
        <f t="shared" si="0"/>
        <v>5.6044999999999998E-2</v>
      </c>
      <c r="U13" s="2">
        <f t="shared" si="0"/>
        <v>9.6198000000000006E-2</v>
      </c>
      <c r="V13" s="2">
        <f t="shared" si="0"/>
        <v>9.8433000000000007E-2</v>
      </c>
      <c r="W13" s="2">
        <f t="shared" si="0"/>
        <v>0.11260299999999999</v>
      </c>
      <c r="X13" s="2">
        <f t="shared" si="0"/>
        <v>3.9952000000000001E-2</v>
      </c>
      <c r="Y13" s="2">
        <f t="shared" si="0"/>
        <v>1.7915E-2</v>
      </c>
      <c r="Z13" s="2">
        <f t="shared" si="0"/>
        <v>2.3466000000000001E-2</v>
      </c>
      <c r="AA13" s="2">
        <f t="shared" si="0"/>
        <v>3.2200000000000002E-3</v>
      </c>
      <c r="AB13" s="2">
        <f t="shared" si="0"/>
        <v>1.939E-3</v>
      </c>
    </row>
    <row r="14" spans="2:28" x14ac:dyDescent="0.3">
      <c r="B14" s="3">
        <v>9</v>
      </c>
      <c r="C14" s="2">
        <v>7.1922E-2</v>
      </c>
      <c r="D14" s="2">
        <v>-3.4997E-2</v>
      </c>
      <c r="E14" s="2">
        <v>-0.100273</v>
      </c>
      <c r="F14" s="2">
        <v>-0.104668</v>
      </c>
      <c r="G14" s="2">
        <v>-0.156781</v>
      </c>
      <c r="H14" s="2">
        <v>4.0987999999999997E-2</v>
      </c>
      <c r="I14" s="2">
        <v>0.15732699999999999</v>
      </c>
      <c r="J14" s="2">
        <v>6.4011999999999999E-2</v>
      </c>
      <c r="K14" s="2">
        <v>-4.4590999999999999E-2</v>
      </c>
      <c r="L14" s="2">
        <v>-9.5716999999999997E-2</v>
      </c>
      <c r="M14" s="2">
        <v>-6.4138000000000001E-2</v>
      </c>
      <c r="N14" s="2">
        <v>0.26180199999999998</v>
      </c>
      <c r="P14" s="3">
        <v>9</v>
      </c>
      <c r="Q14" s="2">
        <f t="shared" si="1"/>
        <v>7.1922E-2</v>
      </c>
      <c r="R14" s="2">
        <f t="shared" si="0"/>
        <v>3.4997E-2</v>
      </c>
      <c r="S14" s="2">
        <f t="shared" si="0"/>
        <v>0.100273</v>
      </c>
      <c r="T14" s="2">
        <f t="shared" si="0"/>
        <v>0.104668</v>
      </c>
      <c r="U14" s="2">
        <f t="shared" si="0"/>
        <v>0.156781</v>
      </c>
      <c r="V14" s="2">
        <f t="shared" si="0"/>
        <v>4.0987999999999997E-2</v>
      </c>
      <c r="W14" s="2">
        <f t="shared" si="0"/>
        <v>0.15732699999999999</v>
      </c>
      <c r="X14" s="2">
        <f t="shared" si="0"/>
        <v>6.4011999999999999E-2</v>
      </c>
      <c r="Y14" s="2">
        <f t="shared" si="0"/>
        <v>4.4590999999999999E-2</v>
      </c>
      <c r="Z14" s="2">
        <f t="shared" si="0"/>
        <v>9.5716999999999997E-2</v>
      </c>
      <c r="AA14" s="2">
        <f t="shared" si="0"/>
        <v>6.4138000000000001E-2</v>
      </c>
      <c r="AB14" s="2">
        <f t="shared" si="0"/>
        <v>0.26180199999999998</v>
      </c>
    </row>
    <row r="15" spans="2:28" x14ac:dyDescent="0.3">
      <c r="B15" s="3">
        <v>10</v>
      </c>
      <c r="C15" s="2">
        <v>-0.10062599999999999</v>
      </c>
      <c r="D15" s="2">
        <v>-3.6049999999999999E-2</v>
      </c>
      <c r="E15" s="2">
        <v>2.7782000000000001E-2</v>
      </c>
      <c r="F15" s="2">
        <v>1.7028999999999999E-2</v>
      </c>
      <c r="G15" s="2">
        <v>4.6001E-2</v>
      </c>
      <c r="H15" s="2">
        <v>8.4989999999999996E-3</v>
      </c>
      <c r="I15" s="2">
        <v>-9.7208000000000003E-2</v>
      </c>
      <c r="J15" s="2">
        <v>-7.6150999999999996E-2</v>
      </c>
      <c r="K15" s="2">
        <v>-7.9822000000000004E-2</v>
      </c>
      <c r="L15" s="2">
        <v>1.9543999999999999E-2</v>
      </c>
      <c r="M15" s="2">
        <v>2.2765000000000001E-2</v>
      </c>
      <c r="N15" s="2">
        <v>1.1850000000000001E-3</v>
      </c>
      <c r="P15" s="3">
        <v>10</v>
      </c>
      <c r="Q15" s="2">
        <f t="shared" si="1"/>
        <v>0.10062599999999999</v>
      </c>
      <c r="R15" s="2">
        <f t="shared" si="0"/>
        <v>3.6049999999999999E-2</v>
      </c>
      <c r="S15" s="2">
        <f t="shared" si="0"/>
        <v>2.7782000000000001E-2</v>
      </c>
      <c r="T15" s="2">
        <f t="shared" si="0"/>
        <v>1.7028999999999999E-2</v>
      </c>
      <c r="U15" s="2">
        <f t="shared" si="0"/>
        <v>4.6001E-2</v>
      </c>
      <c r="V15" s="2">
        <f t="shared" si="0"/>
        <v>8.4989999999999996E-3</v>
      </c>
      <c r="W15" s="2">
        <f t="shared" si="0"/>
        <v>9.7208000000000003E-2</v>
      </c>
      <c r="X15" s="2">
        <f t="shared" si="0"/>
        <v>7.6150999999999996E-2</v>
      </c>
      <c r="Y15" s="2">
        <f t="shared" si="0"/>
        <v>7.9822000000000004E-2</v>
      </c>
      <c r="Z15" s="2">
        <f t="shared" si="0"/>
        <v>1.9543999999999999E-2</v>
      </c>
      <c r="AA15" s="2">
        <f t="shared" si="0"/>
        <v>2.2765000000000001E-2</v>
      </c>
      <c r="AB15" s="2">
        <f t="shared" si="0"/>
        <v>1.1850000000000001E-3</v>
      </c>
    </row>
    <row r="16" spans="2:28" x14ac:dyDescent="0.3">
      <c r="B16" s="3">
        <v>11</v>
      </c>
      <c r="C16" s="2">
        <v>1.5233999999999999E-2</v>
      </c>
      <c r="D16" s="2">
        <v>8.0000000000000004E-4</v>
      </c>
      <c r="E16" s="2">
        <v>1.011E-3</v>
      </c>
      <c r="F16" s="2">
        <v>-8.2400000000000008E-3</v>
      </c>
      <c r="G16" s="2">
        <v>7.6000000000000004E-4</v>
      </c>
      <c r="H16" s="2">
        <v>-1.0328E-2</v>
      </c>
      <c r="I16" s="2" t="s">
        <v>12</v>
      </c>
      <c r="J16" s="2">
        <v>-1.9813000000000001E-2</v>
      </c>
      <c r="K16" s="2">
        <v>6.0099999999999997E-4</v>
      </c>
      <c r="L16" s="2">
        <v>1.8508E-2</v>
      </c>
      <c r="M16" s="2">
        <v>1.3261999999999999E-2</v>
      </c>
      <c r="N16" s="2">
        <v>0.27728199999999997</v>
      </c>
      <c r="P16" s="3">
        <v>11</v>
      </c>
      <c r="Q16" s="2">
        <f t="shared" si="1"/>
        <v>1.5233999999999999E-2</v>
      </c>
      <c r="R16" s="2">
        <f t="shared" si="0"/>
        <v>8.0000000000000004E-4</v>
      </c>
      <c r="S16" s="2">
        <f t="shared" si="0"/>
        <v>1.011E-3</v>
      </c>
      <c r="T16" s="2">
        <f t="shared" si="0"/>
        <v>8.2400000000000008E-3</v>
      </c>
      <c r="U16" s="2">
        <f t="shared" si="0"/>
        <v>7.6000000000000004E-4</v>
      </c>
      <c r="V16" s="2">
        <f t="shared" si="0"/>
        <v>1.0328E-2</v>
      </c>
      <c r="W16" s="2" t="s">
        <v>12</v>
      </c>
      <c r="X16" s="2">
        <f t="shared" si="0"/>
        <v>1.9813000000000001E-2</v>
      </c>
      <c r="Y16" s="2">
        <f t="shared" si="0"/>
        <v>6.0099999999999997E-4</v>
      </c>
      <c r="Z16" s="2">
        <f t="shared" si="0"/>
        <v>1.8508E-2</v>
      </c>
      <c r="AA16" s="2">
        <f t="shared" si="0"/>
        <v>1.3261999999999999E-2</v>
      </c>
      <c r="AB16" s="2">
        <f t="shared" si="0"/>
        <v>0.27728199999999997</v>
      </c>
    </row>
    <row r="17" spans="2:28" x14ac:dyDescent="0.3">
      <c r="B17" s="3">
        <v>12</v>
      </c>
      <c r="C17" s="2">
        <v>-8.1809999999999994E-2</v>
      </c>
      <c r="D17" s="2">
        <v>-0.36618099999999998</v>
      </c>
      <c r="E17" s="2">
        <v>7.1496000000000004E-2</v>
      </c>
      <c r="F17" s="2">
        <v>3.0589999999999999E-2</v>
      </c>
      <c r="G17" s="2">
        <v>0.147282</v>
      </c>
      <c r="H17" s="2">
        <v>0.15301200000000001</v>
      </c>
      <c r="I17" s="2" t="s">
        <v>12</v>
      </c>
      <c r="J17" s="2">
        <v>-1.5169E-2</v>
      </c>
      <c r="K17" s="2">
        <v>-6.5762000000000001E-2</v>
      </c>
      <c r="L17" s="2">
        <v>6.2829999999999997E-2</v>
      </c>
      <c r="M17" s="2">
        <v>3.5077999999999998E-2</v>
      </c>
      <c r="N17" s="2">
        <v>0.28840700000000002</v>
      </c>
      <c r="P17" s="3">
        <v>12</v>
      </c>
      <c r="Q17" s="2">
        <f t="shared" si="1"/>
        <v>8.1809999999999994E-2</v>
      </c>
      <c r="R17" s="2">
        <f t="shared" si="0"/>
        <v>0.36618099999999998</v>
      </c>
      <c r="S17" s="2">
        <f t="shared" si="0"/>
        <v>7.1496000000000004E-2</v>
      </c>
      <c r="T17" s="2">
        <f t="shared" si="0"/>
        <v>3.0589999999999999E-2</v>
      </c>
      <c r="U17" s="2">
        <f t="shared" si="0"/>
        <v>0.147282</v>
      </c>
      <c r="V17" s="2">
        <f t="shared" si="0"/>
        <v>0.15301200000000001</v>
      </c>
      <c r="W17" s="2" t="s">
        <v>12</v>
      </c>
      <c r="X17" s="2">
        <f t="shared" si="0"/>
        <v>1.5169E-2</v>
      </c>
      <c r="Y17" s="2">
        <f t="shared" si="0"/>
        <v>6.5762000000000001E-2</v>
      </c>
      <c r="Z17" s="2">
        <f t="shared" si="0"/>
        <v>6.2829999999999997E-2</v>
      </c>
      <c r="AA17" s="2">
        <f t="shared" si="0"/>
        <v>3.5077999999999998E-2</v>
      </c>
      <c r="AB17" s="2">
        <f t="shared" si="0"/>
        <v>0.28840700000000002</v>
      </c>
    </row>
    <row r="18" spans="2:28" x14ac:dyDescent="0.3">
      <c r="B18" s="3">
        <v>13</v>
      </c>
      <c r="C18" s="2">
        <v>5.4264E-2</v>
      </c>
      <c r="D18" s="2">
        <v>1.6057999999999999E-2</v>
      </c>
      <c r="E18" s="2">
        <v>1.193E-2</v>
      </c>
      <c r="F18" s="2">
        <v>-3.3936000000000001E-2</v>
      </c>
      <c r="G18" s="2">
        <v>3.8711000000000002E-2</v>
      </c>
      <c r="H18" s="2">
        <v>-5.3182E-2</v>
      </c>
      <c r="I18" s="2">
        <v>-3.3110000000000001E-3</v>
      </c>
      <c r="J18" s="2">
        <v>-5.9362999999999999E-2</v>
      </c>
      <c r="K18" s="2">
        <v>-2.0591000000000002E-2</v>
      </c>
      <c r="L18" s="2">
        <v>-4.0814999999999997E-2</v>
      </c>
      <c r="M18" s="2">
        <v>8.2002000000000005E-2</v>
      </c>
      <c r="N18" s="2">
        <v>0.37165500000000001</v>
      </c>
      <c r="P18" s="3">
        <v>13</v>
      </c>
      <c r="Q18" s="2">
        <f t="shared" si="1"/>
        <v>5.4264E-2</v>
      </c>
      <c r="R18" s="2">
        <f t="shared" si="0"/>
        <v>1.6057999999999999E-2</v>
      </c>
      <c r="S18" s="2">
        <f t="shared" si="0"/>
        <v>1.193E-2</v>
      </c>
      <c r="T18" s="2">
        <f t="shared" si="0"/>
        <v>3.3936000000000001E-2</v>
      </c>
      <c r="U18" s="2">
        <f t="shared" si="0"/>
        <v>3.8711000000000002E-2</v>
      </c>
      <c r="V18" s="2">
        <f t="shared" si="0"/>
        <v>5.3182E-2</v>
      </c>
      <c r="W18" s="2">
        <f t="shared" si="0"/>
        <v>3.3110000000000001E-3</v>
      </c>
      <c r="X18" s="2">
        <f t="shared" si="0"/>
        <v>5.9362999999999999E-2</v>
      </c>
      <c r="Y18" s="2">
        <f t="shared" si="0"/>
        <v>2.0591000000000002E-2</v>
      </c>
      <c r="Z18" s="2">
        <f t="shared" si="0"/>
        <v>4.0814999999999997E-2</v>
      </c>
      <c r="AA18" s="2">
        <f t="shared" si="0"/>
        <v>8.2002000000000005E-2</v>
      </c>
      <c r="AB18" s="2">
        <f t="shared" si="0"/>
        <v>0.37165500000000001</v>
      </c>
    </row>
    <row r="19" spans="2:28" x14ac:dyDescent="0.3">
      <c r="B19" s="3">
        <v>14</v>
      </c>
      <c r="C19" s="2">
        <v>0.25322499999999998</v>
      </c>
      <c r="D19" s="2">
        <v>-0.107553</v>
      </c>
      <c r="E19" s="2">
        <v>-0.239394</v>
      </c>
      <c r="F19" s="2">
        <v>3.5125999999999998E-2</v>
      </c>
      <c r="G19" s="2">
        <v>-0.27352500000000002</v>
      </c>
      <c r="H19" s="2">
        <v>-0.21761800000000001</v>
      </c>
      <c r="I19" s="2" t="s">
        <v>12</v>
      </c>
      <c r="J19" s="2">
        <v>0.31553799999999999</v>
      </c>
      <c r="K19" s="2">
        <v>0.195912</v>
      </c>
      <c r="L19" s="2">
        <v>-0.226547</v>
      </c>
      <c r="M19" s="2">
        <v>0.184365</v>
      </c>
      <c r="N19" s="2">
        <v>0.46437600000000001</v>
      </c>
      <c r="P19" s="3">
        <v>14</v>
      </c>
      <c r="Q19" s="2">
        <f t="shared" si="1"/>
        <v>0.25322499999999998</v>
      </c>
      <c r="R19" s="2">
        <f t="shared" si="0"/>
        <v>0.107553</v>
      </c>
      <c r="S19" s="2">
        <f t="shared" si="0"/>
        <v>0.239394</v>
      </c>
      <c r="T19" s="2">
        <f t="shared" si="0"/>
        <v>3.5125999999999998E-2</v>
      </c>
      <c r="U19" s="2">
        <f t="shared" si="0"/>
        <v>0.27352500000000002</v>
      </c>
      <c r="V19" s="2">
        <f t="shared" si="0"/>
        <v>0.21761800000000001</v>
      </c>
      <c r="W19" s="2" t="s">
        <v>12</v>
      </c>
      <c r="X19" s="2">
        <f t="shared" si="0"/>
        <v>0.31553799999999999</v>
      </c>
      <c r="Y19" s="2">
        <f t="shared" si="0"/>
        <v>0.195912</v>
      </c>
      <c r="Z19" s="2">
        <f t="shared" si="0"/>
        <v>0.226547</v>
      </c>
      <c r="AA19" s="2">
        <f t="shared" si="0"/>
        <v>0.184365</v>
      </c>
      <c r="AB19" s="2">
        <f t="shared" si="0"/>
        <v>0.46437600000000001</v>
      </c>
    </row>
    <row r="20" spans="2:28" x14ac:dyDescent="0.3">
      <c r="B20" s="3">
        <v>15</v>
      </c>
      <c r="C20" s="2">
        <v>-2.1080000000000001E-3</v>
      </c>
      <c r="D20" s="2">
        <v>-1.2468E-2</v>
      </c>
      <c r="E20" s="2">
        <v>-4.542E-3</v>
      </c>
      <c r="F20" s="2">
        <v>2.7254E-2</v>
      </c>
      <c r="G20" s="2">
        <v>-4.346E-3</v>
      </c>
      <c r="H20" s="2">
        <v>2.1076000000000001E-2</v>
      </c>
      <c r="I20" s="2">
        <v>3.0875E-2</v>
      </c>
      <c r="J20" s="2">
        <v>-1.6819999999999999E-3</v>
      </c>
      <c r="K20" s="2">
        <v>2.3033999999999999E-2</v>
      </c>
      <c r="L20" s="2">
        <v>-9.9209999999999993E-3</v>
      </c>
      <c r="M20" s="2">
        <v>-1.6639999999999999E-3</v>
      </c>
      <c r="N20" s="2">
        <v>-1.55E-4</v>
      </c>
      <c r="P20" s="3">
        <v>15</v>
      </c>
      <c r="Q20" s="2">
        <f t="shared" si="1"/>
        <v>2.1080000000000001E-3</v>
      </c>
      <c r="R20" s="2">
        <f t="shared" si="0"/>
        <v>1.2468E-2</v>
      </c>
      <c r="S20" s="2">
        <f t="shared" si="0"/>
        <v>4.542E-3</v>
      </c>
      <c r="T20" s="2">
        <f t="shared" si="0"/>
        <v>2.7254E-2</v>
      </c>
      <c r="U20" s="2">
        <f t="shared" si="0"/>
        <v>4.346E-3</v>
      </c>
      <c r="V20" s="2">
        <f t="shared" si="0"/>
        <v>2.1076000000000001E-2</v>
      </c>
      <c r="W20" s="2">
        <f t="shared" si="0"/>
        <v>3.0875E-2</v>
      </c>
      <c r="X20" s="2">
        <f t="shared" si="0"/>
        <v>1.6819999999999999E-3</v>
      </c>
      <c r="Y20" s="2">
        <f t="shared" si="0"/>
        <v>2.3033999999999999E-2</v>
      </c>
      <c r="Z20" s="2">
        <f t="shared" si="0"/>
        <v>9.9209999999999993E-3</v>
      </c>
      <c r="AA20" s="2">
        <f t="shared" si="0"/>
        <v>1.6639999999999999E-3</v>
      </c>
      <c r="AB20" s="2">
        <f t="shared" si="0"/>
        <v>1.55E-4</v>
      </c>
    </row>
    <row r="21" spans="2:28" x14ac:dyDescent="0.3">
      <c r="B21" s="3">
        <v>16</v>
      </c>
      <c r="C21" s="2">
        <v>8.0487000000000003E-2</v>
      </c>
      <c r="D21" s="2">
        <v>6.3007999999999995E-2</v>
      </c>
      <c r="E21" s="2">
        <v>-9.6747E-2</v>
      </c>
      <c r="F21" s="2">
        <v>0.13375999999999999</v>
      </c>
      <c r="G21" s="2">
        <v>-4.5497000000000003E-2</v>
      </c>
      <c r="H21" s="2">
        <v>-2.6431E-2</v>
      </c>
      <c r="I21" s="2" t="s">
        <v>12</v>
      </c>
      <c r="J21" s="2">
        <v>-4.5147E-2</v>
      </c>
      <c r="K21" s="2">
        <v>5.8164E-2</v>
      </c>
      <c r="L21" s="2">
        <v>-2.8105999999999999E-2</v>
      </c>
      <c r="M21" s="2">
        <v>8.4764999999999993E-2</v>
      </c>
      <c r="N21" s="2">
        <v>0.27030399999999999</v>
      </c>
      <c r="P21" s="3">
        <v>16</v>
      </c>
      <c r="Q21" s="2">
        <f t="shared" si="1"/>
        <v>8.0487000000000003E-2</v>
      </c>
      <c r="R21" s="2">
        <f t="shared" si="1"/>
        <v>6.3007999999999995E-2</v>
      </c>
      <c r="S21" s="2">
        <f t="shared" si="1"/>
        <v>9.6747E-2</v>
      </c>
      <c r="T21" s="2">
        <f t="shared" si="1"/>
        <v>0.13375999999999999</v>
      </c>
      <c r="U21" s="2">
        <f t="shared" si="1"/>
        <v>4.5497000000000003E-2</v>
      </c>
      <c r="V21" s="2">
        <f t="shared" si="1"/>
        <v>2.6431E-2</v>
      </c>
      <c r="W21" s="2" t="s">
        <v>12</v>
      </c>
      <c r="X21" s="2">
        <f t="shared" si="1"/>
        <v>4.5147E-2</v>
      </c>
      <c r="Y21" s="2">
        <f t="shared" si="1"/>
        <v>5.8164E-2</v>
      </c>
      <c r="Z21" s="2">
        <f t="shared" si="1"/>
        <v>2.8105999999999999E-2</v>
      </c>
      <c r="AA21" s="2">
        <f t="shared" si="1"/>
        <v>8.4764999999999993E-2</v>
      </c>
      <c r="AB21" s="2">
        <f t="shared" si="1"/>
        <v>0.27030399999999999</v>
      </c>
    </row>
    <row r="22" spans="2:28" x14ac:dyDescent="0.3">
      <c r="B22" s="3">
        <v>17</v>
      </c>
      <c r="C22" s="2">
        <v>0.24113299999999999</v>
      </c>
      <c r="D22" s="2">
        <v>-1.6188999999999999E-2</v>
      </c>
      <c r="E22" s="2">
        <v>0.117327</v>
      </c>
      <c r="F22" s="2">
        <v>-0.17772499999999999</v>
      </c>
      <c r="G22" s="2">
        <v>-0.26978200000000002</v>
      </c>
      <c r="H22" s="2">
        <v>-4.7683999999999997E-2</v>
      </c>
      <c r="I22" s="2" t="s">
        <v>12</v>
      </c>
      <c r="J22" s="2">
        <v>6.6927E-2</v>
      </c>
      <c r="K22" s="2">
        <v>0.17754300000000001</v>
      </c>
      <c r="L22" s="2">
        <v>2.0388E-2</v>
      </c>
      <c r="M22" s="2">
        <v>-0.200715</v>
      </c>
      <c r="N22" s="2">
        <v>0.35060999999999998</v>
      </c>
      <c r="P22" s="3">
        <v>17</v>
      </c>
      <c r="Q22" s="2">
        <f t="shared" si="1"/>
        <v>0.24113299999999999</v>
      </c>
      <c r="R22" s="2">
        <f t="shared" si="1"/>
        <v>1.6188999999999999E-2</v>
      </c>
      <c r="S22" s="2">
        <f t="shared" si="1"/>
        <v>0.117327</v>
      </c>
      <c r="T22" s="2">
        <f t="shared" si="1"/>
        <v>0.17772499999999999</v>
      </c>
      <c r="U22" s="2">
        <f t="shared" si="1"/>
        <v>0.26978200000000002</v>
      </c>
      <c r="V22" s="2">
        <f t="shared" si="1"/>
        <v>4.7683999999999997E-2</v>
      </c>
      <c r="W22" s="2" t="s">
        <v>12</v>
      </c>
      <c r="X22" s="2">
        <f t="shared" si="1"/>
        <v>6.6927E-2</v>
      </c>
      <c r="Y22" s="2">
        <f t="shared" si="1"/>
        <v>0.17754300000000001</v>
      </c>
      <c r="Z22" s="2">
        <f t="shared" si="1"/>
        <v>2.0388E-2</v>
      </c>
      <c r="AA22" s="2">
        <f t="shared" si="1"/>
        <v>0.200715</v>
      </c>
      <c r="AB22" s="2">
        <f t="shared" si="1"/>
        <v>0.35060999999999998</v>
      </c>
    </row>
    <row r="23" spans="2:28" x14ac:dyDescent="0.3">
      <c r="B23" s="3">
        <v>18</v>
      </c>
      <c r="C23" s="2">
        <v>8.6278999999999995E-2</v>
      </c>
      <c r="D23" s="2">
        <v>-2.741E-2</v>
      </c>
      <c r="E23" s="2">
        <v>0.101844</v>
      </c>
      <c r="F23" s="2">
        <v>-9.9093000000000001E-2</v>
      </c>
      <c r="G23" s="2">
        <v>3.9550000000000002E-3</v>
      </c>
      <c r="H23" s="2">
        <v>-9.9848999999999993E-2</v>
      </c>
      <c r="I23" s="2">
        <v>-9.8001000000000005E-2</v>
      </c>
      <c r="J23" s="2">
        <v>-9.9755999999999997E-2</v>
      </c>
      <c r="K23" s="2">
        <v>8.8085999999999998E-2</v>
      </c>
      <c r="L23" s="2">
        <v>-7.2114999999999999E-2</v>
      </c>
      <c r="M23" s="2">
        <v>8.8909000000000002E-2</v>
      </c>
      <c r="N23" s="2">
        <v>1.436E-3</v>
      </c>
      <c r="P23" s="3">
        <v>18</v>
      </c>
      <c r="Q23" s="2">
        <f t="shared" si="1"/>
        <v>8.6278999999999995E-2</v>
      </c>
      <c r="R23" s="2">
        <f t="shared" si="1"/>
        <v>2.741E-2</v>
      </c>
      <c r="S23" s="2">
        <f t="shared" si="1"/>
        <v>0.101844</v>
      </c>
      <c r="T23" s="2">
        <f t="shared" si="1"/>
        <v>9.9093000000000001E-2</v>
      </c>
      <c r="U23" s="2">
        <f t="shared" si="1"/>
        <v>3.9550000000000002E-3</v>
      </c>
      <c r="V23" s="2">
        <f t="shared" si="1"/>
        <v>9.9848999999999993E-2</v>
      </c>
      <c r="W23" s="2">
        <f t="shared" si="1"/>
        <v>9.8001000000000005E-2</v>
      </c>
      <c r="X23" s="2">
        <f t="shared" si="1"/>
        <v>9.9755999999999997E-2</v>
      </c>
      <c r="Y23" s="2">
        <f t="shared" si="1"/>
        <v>8.8085999999999998E-2</v>
      </c>
      <c r="Z23" s="2">
        <f t="shared" si="1"/>
        <v>7.2114999999999999E-2</v>
      </c>
      <c r="AA23" s="2">
        <f t="shared" si="1"/>
        <v>8.8909000000000002E-2</v>
      </c>
      <c r="AB23" s="2">
        <f t="shared" si="1"/>
        <v>1.436E-3</v>
      </c>
    </row>
    <row r="24" spans="2:28" x14ac:dyDescent="0.3"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28" x14ac:dyDescent="0.3">
      <c r="B25" s="3" t="s">
        <v>14</v>
      </c>
      <c r="C25" s="1">
        <f>AVERAGE(C5:C23)</f>
        <v>4.852642105263158E-2</v>
      </c>
      <c r="D25" s="1">
        <f>AVERAGE(D5:D23)</f>
        <v>-1.9832631578947366E-2</v>
      </c>
      <c r="E25" s="1">
        <f>AVERAGE(E5:E23)</f>
        <v>-1.8675736842105262E-2</v>
      </c>
      <c r="F25" s="1">
        <f>AVERAGE(F5:F23)</f>
        <v>5.0855263157894726E-3</v>
      </c>
      <c r="G25" s="1">
        <f>AVERAGE(G5:G23)</f>
        <v>-2.0730684210526321E-2</v>
      </c>
      <c r="H25" s="1">
        <f>AVERAGE(H5:H23)</f>
        <v>-2.3938052631578947E-2</v>
      </c>
      <c r="I25" s="1">
        <f>AVERAGE(I5:I23)</f>
        <v>2.783833333333333E-2</v>
      </c>
      <c r="J25" s="1">
        <f>AVERAGE(J5:J23)</f>
        <v>5.0181578947368407E-3</v>
      </c>
      <c r="K25" s="1">
        <f>AVERAGE(K5:K23)</f>
        <v>4.2724105263157897E-2</v>
      </c>
      <c r="L25" s="1">
        <f>AVERAGE(L5:L23)</f>
        <v>-1.0627842105263159E-2</v>
      </c>
      <c r="M25" s="1">
        <f>AVERAGE(M5:M23)</f>
        <v>2.0828736842105264E-2</v>
      </c>
      <c r="N25" s="1">
        <f>AVERAGE(N5:N23)</f>
        <v>0.22712684210526315</v>
      </c>
      <c r="P25" s="3" t="s">
        <v>14</v>
      </c>
      <c r="Q25" s="1">
        <f>AVERAGE(Q5:Q23)</f>
        <v>9.5123789473684217E-2</v>
      </c>
      <c r="R25" s="1">
        <f t="shared" ref="R25:AB25" si="2">AVERAGE(R5:R23)</f>
        <v>6.9634947368421046E-2</v>
      </c>
      <c r="S25" s="1">
        <f t="shared" si="2"/>
        <v>7.3192999999999994E-2</v>
      </c>
      <c r="T25" s="1">
        <f t="shared" si="2"/>
        <v>6.1793842105263154E-2</v>
      </c>
      <c r="U25" s="1">
        <f t="shared" si="2"/>
        <v>8.6491210526315768E-2</v>
      </c>
      <c r="V25" s="1">
        <f t="shared" si="2"/>
        <v>6.2376052631578964E-2</v>
      </c>
      <c r="W25" s="1">
        <f t="shared" si="2"/>
        <v>7.1953888888888887E-2</v>
      </c>
      <c r="X25" s="1">
        <f t="shared" si="2"/>
        <v>7.4372473684210516E-2</v>
      </c>
      <c r="Y25" s="1">
        <f t="shared" si="2"/>
        <v>6.6582631578947379E-2</v>
      </c>
      <c r="Z25" s="1">
        <f t="shared" si="2"/>
        <v>5.4030684210526307E-2</v>
      </c>
      <c r="AA25" s="1">
        <f t="shared" si="2"/>
        <v>6.3227157894736846E-2</v>
      </c>
      <c r="AB25" s="1">
        <f t="shared" si="2"/>
        <v>0.22798526315789472</v>
      </c>
    </row>
    <row r="26" spans="2:28" x14ac:dyDescent="0.3">
      <c r="B26" s="3" t="s">
        <v>15</v>
      </c>
      <c r="C26" s="1">
        <f>MAX(C5:C23)</f>
        <v>0.25322499999999998</v>
      </c>
      <c r="D26" s="1">
        <f>MAX(D5:D23)</f>
        <v>0.15435699999999999</v>
      </c>
      <c r="E26" s="1">
        <f>MAX(E5:E23)</f>
        <v>0.12305199999999999</v>
      </c>
      <c r="F26" s="1">
        <f>MAX(F5:F23)</f>
        <v>0.15554499999999999</v>
      </c>
      <c r="G26" s="1">
        <f>MAX(G5:G23)</f>
        <v>0.147282</v>
      </c>
      <c r="H26" s="1">
        <f>MAX(H5:H23)</f>
        <v>0.15301200000000001</v>
      </c>
      <c r="I26" s="1">
        <f>MAX(I5:I23)</f>
        <v>0.15732699999999999</v>
      </c>
      <c r="J26" s="1">
        <f>MAX(J5:J23)</f>
        <v>0.31553799999999999</v>
      </c>
      <c r="K26" s="1">
        <f>MAX(K5:K23)</f>
        <v>0.195912</v>
      </c>
      <c r="L26" s="1">
        <f>MAX(L5:L23)</f>
        <v>8.0413999999999999E-2</v>
      </c>
      <c r="M26" s="1">
        <f>MAX(M5:M23)</f>
        <v>0.184365</v>
      </c>
      <c r="N26" s="1">
        <f>MAX(N5:N23)</f>
        <v>0.61178100000000002</v>
      </c>
      <c r="P26" s="3" t="s">
        <v>15</v>
      </c>
      <c r="Q26" s="1">
        <f>MAX(Q5:Q23)</f>
        <v>0.25322499999999998</v>
      </c>
      <c r="R26" s="1">
        <f t="shared" ref="R26:AB26" si="3">MAX(R5:R23)</f>
        <v>0.36618099999999998</v>
      </c>
      <c r="S26" s="1">
        <f t="shared" si="3"/>
        <v>0.239394</v>
      </c>
      <c r="T26" s="1">
        <f t="shared" si="3"/>
        <v>0.17772499999999999</v>
      </c>
      <c r="U26" s="1">
        <f t="shared" si="3"/>
        <v>0.27352500000000002</v>
      </c>
      <c r="V26" s="1">
        <f t="shared" si="3"/>
        <v>0.21761800000000001</v>
      </c>
      <c r="W26" s="1">
        <f t="shared" si="3"/>
        <v>0.15732699999999999</v>
      </c>
      <c r="X26" s="1">
        <f t="shared" si="3"/>
        <v>0.31553799999999999</v>
      </c>
      <c r="Y26" s="1">
        <f t="shared" si="3"/>
        <v>0.195912</v>
      </c>
      <c r="Z26" s="1">
        <f t="shared" si="3"/>
        <v>0.226547</v>
      </c>
      <c r="AA26" s="1">
        <f t="shared" si="3"/>
        <v>0.200715</v>
      </c>
      <c r="AB26" s="1">
        <f t="shared" si="3"/>
        <v>0.61178100000000002</v>
      </c>
    </row>
    <row r="27" spans="2:28" x14ac:dyDescent="0.3">
      <c r="B27" s="3" t="s">
        <v>16</v>
      </c>
      <c r="C27" s="1">
        <f>MIN(C5:C23)</f>
        <v>-0.176401</v>
      </c>
      <c r="D27" s="1">
        <f>MIN(D5:D23)</f>
        <v>-0.36618099999999998</v>
      </c>
      <c r="E27" s="1">
        <f>MIN(E5:E23)</f>
        <v>-0.239394</v>
      </c>
      <c r="F27" s="1">
        <f>MIN(F5:F23)</f>
        <v>-0.17772499999999999</v>
      </c>
      <c r="G27" s="1">
        <f>MIN(G5:G23)</f>
        <v>-0.27352500000000002</v>
      </c>
      <c r="H27" s="1">
        <f>MIN(H5:H23)</f>
        <v>-0.21761800000000001</v>
      </c>
      <c r="I27" s="1">
        <f>MIN(I5:I23)</f>
        <v>-9.8001000000000005E-2</v>
      </c>
      <c r="J27" s="1">
        <f>MIN(J5:J23)</f>
        <v>-0.14610500000000001</v>
      </c>
      <c r="K27" s="1">
        <f>MIN(K5:K23)</f>
        <v>-7.9822000000000004E-2</v>
      </c>
      <c r="L27" s="1">
        <f>MIN(L5:L23)</f>
        <v>-0.226547</v>
      </c>
      <c r="M27" s="1">
        <f>MIN(M5:M23)</f>
        <v>-0.200715</v>
      </c>
      <c r="N27" s="1">
        <f>MIN(N5:N23)</f>
        <v>-8.0000000000000002E-3</v>
      </c>
      <c r="P27" s="3" t="s">
        <v>16</v>
      </c>
      <c r="Q27" s="1">
        <f>MIN(Q5:Q23)</f>
        <v>2.1080000000000001E-3</v>
      </c>
      <c r="R27" s="1">
        <f t="shared" ref="R27:AB27" si="4">MIN(R5:R23)</f>
        <v>8.0000000000000004E-4</v>
      </c>
      <c r="S27" s="1">
        <f t="shared" si="4"/>
        <v>1.011E-3</v>
      </c>
      <c r="T27" s="1">
        <f t="shared" si="4"/>
        <v>3.5339999999999998E-3</v>
      </c>
      <c r="U27" s="1">
        <f t="shared" si="4"/>
        <v>7.6000000000000004E-4</v>
      </c>
      <c r="V27" s="1">
        <f t="shared" si="4"/>
        <v>6.0769999999999999E-3</v>
      </c>
      <c r="W27" s="1">
        <f t="shared" si="4"/>
        <v>3.3110000000000001E-3</v>
      </c>
      <c r="X27" s="1">
        <f t="shared" si="4"/>
        <v>1.6819999999999999E-3</v>
      </c>
      <c r="Y27" s="1">
        <f t="shared" si="4"/>
        <v>6.0099999999999997E-4</v>
      </c>
      <c r="Z27" s="1">
        <f t="shared" si="4"/>
        <v>7.9880000000000003E-3</v>
      </c>
      <c r="AA27" s="1">
        <f t="shared" si="4"/>
        <v>1.6639999999999999E-3</v>
      </c>
      <c r="AB27" s="1">
        <f t="shared" si="4"/>
        <v>1.55E-4</v>
      </c>
    </row>
    <row r="28" spans="2:28" x14ac:dyDescent="0.3">
      <c r="B28" s="4"/>
      <c r="P28" s="4"/>
    </row>
    <row r="32" spans="2:28" x14ac:dyDescent="0.3">
      <c r="B32" s="3"/>
      <c r="C32" s="3" t="s">
        <v>17</v>
      </c>
      <c r="D32" s="3" t="s">
        <v>18</v>
      </c>
    </row>
    <row r="33" spans="2:4" x14ac:dyDescent="0.3">
      <c r="B33" s="3" t="s">
        <v>7</v>
      </c>
      <c r="C33" s="1">
        <v>0.61178100000000002</v>
      </c>
      <c r="D33" s="1">
        <v>0.22798526315789472</v>
      </c>
    </row>
    <row r="34" spans="2:4" x14ac:dyDescent="0.3">
      <c r="B34" s="3" t="s">
        <v>0</v>
      </c>
      <c r="C34" s="1">
        <v>0.36618099999999998</v>
      </c>
      <c r="D34" s="1">
        <v>6.9634947368421046E-2</v>
      </c>
    </row>
    <row r="35" spans="2:4" x14ac:dyDescent="0.3">
      <c r="B35" s="3" t="s">
        <v>8</v>
      </c>
      <c r="C35" s="1">
        <v>0.31553799999999999</v>
      </c>
      <c r="D35" s="1">
        <v>7.4372473684210516E-2</v>
      </c>
    </row>
    <row r="36" spans="2:4" x14ac:dyDescent="0.3">
      <c r="B36" s="3" t="s">
        <v>4</v>
      </c>
      <c r="C36" s="1">
        <v>0.27352500000000002</v>
      </c>
      <c r="D36" s="1">
        <v>8.6491210526315768E-2</v>
      </c>
    </row>
    <row r="37" spans="2:4" x14ac:dyDescent="0.3">
      <c r="B37" s="3" t="s">
        <v>3</v>
      </c>
      <c r="C37" s="1">
        <v>0.25322499999999998</v>
      </c>
      <c r="D37" s="1">
        <v>9.5123789473684217E-2</v>
      </c>
    </row>
    <row r="38" spans="2:4" x14ac:dyDescent="0.3">
      <c r="B38" s="3" t="s">
        <v>10</v>
      </c>
      <c r="C38" s="1">
        <v>0.239394</v>
      </c>
      <c r="D38" s="1">
        <v>7.3192999999999994E-2</v>
      </c>
    </row>
    <row r="39" spans="2:4" x14ac:dyDescent="0.3">
      <c r="B39" s="3" t="s">
        <v>9</v>
      </c>
      <c r="C39" s="1">
        <v>0.226547</v>
      </c>
      <c r="D39" s="1">
        <v>5.4030684210526307E-2</v>
      </c>
    </row>
    <row r="40" spans="2:4" x14ac:dyDescent="0.3">
      <c r="B40" s="3" t="s">
        <v>1</v>
      </c>
      <c r="C40" s="1">
        <v>0.21761800000000001</v>
      </c>
      <c r="D40" s="1">
        <v>6.2376052631578964E-2</v>
      </c>
    </row>
    <row r="41" spans="2:4" x14ac:dyDescent="0.3">
      <c r="B41" s="3" t="s">
        <v>11</v>
      </c>
      <c r="C41" s="1">
        <v>0.200715</v>
      </c>
      <c r="D41" s="1">
        <v>6.3227157894736846E-2</v>
      </c>
    </row>
    <row r="42" spans="2:4" x14ac:dyDescent="0.3">
      <c r="B42" s="3" t="s">
        <v>5</v>
      </c>
      <c r="C42" s="1">
        <v>0.195912</v>
      </c>
      <c r="D42" s="1">
        <v>6.6582631578947379E-2</v>
      </c>
    </row>
    <row r="43" spans="2:4" x14ac:dyDescent="0.3">
      <c r="B43" s="3" t="s">
        <v>2</v>
      </c>
      <c r="C43" s="1">
        <v>0.17772499999999999</v>
      </c>
      <c r="D43" s="1">
        <v>6.1793842105263154E-2</v>
      </c>
    </row>
    <row r="44" spans="2:4" x14ac:dyDescent="0.3">
      <c r="B44" s="3" t="s">
        <v>6</v>
      </c>
      <c r="C44" s="1">
        <v>0.15732699999999999</v>
      </c>
      <c r="D44" s="1">
        <v>7.1953888888888887E-2</v>
      </c>
    </row>
  </sheetData>
  <sortState xmlns:xlrd2="http://schemas.microsoft.com/office/spreadsheetml/2017/richdata2" ref="B33:D44">
    <sortCondition descending="1" ref="C33:C4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747301F332864B86F3F718EA45F87C" ma:contentTypeVersion="18" ma:contentTypeDescription="Create a new document." ma:contentTypeScope="" ma:versionID="819027d1ac3cec2366ba27eaf3e10e74">
  <xsd:schema xmlns:xsd="http://www.w3.org/2001/XMLSchema" xmlns:xs="http://www.w3.org/2001/XMLSchema" xmlns:p="http://schemas.microsoft.com/office/2006/metadata/properties" xmlns:ns3="5f8aa9c2-5221-4fe2-b95d-f7d8697d2dca" xmlns:ns4="f19832b1-cf84-4134-80c7-c986967f0d82" targetNamespace="http://schemas.microsoft.com/office/2006/metadata/properties" ma:root="true" ma:fieldsID="9674ef5c512140d86e5b5c4798e5f3f5" ns3:_="" ns4:_="">
    <xsd:import namespace="5f8aa9c2-5221-4fe2-b95d-f7d8697d2dca"/>
    <xsd:import namespace="f19832b1-cf84-4134-80c7-c986967f0d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aa9c2-5221-4fe2-b95d-f7d8697d2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832b1-cf84-4134-80c7-c986967f0d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8aa9c2-5221-4fe2-b95d-f7d8697d2dca" xsi:nil="true"/>
  </documentManagement>
</p:properties>
</file>

<file path=customXml/itemProps1.xml><?xml version="1.0" encoding="utf-8"?>
<ds:datastoreItem xmlns:ds="http://schemas.openxmlformats.org/officeDocument/2006/customXml" ds:itemID="{6C707721-1D58-4ECE-A18C-58D81E644B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aa9c2-5221-4fe2-b95d-f7d8697d2dca"/>
    <ds:schemaRef ds:uri="f19832b1-cf84-4134-80c7-c986967f0d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C89E7F-7C67-43A0-8AB6-45CACDC02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CFFAE1-040B-44ED-9FA5-4ECBD2623A4C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f19832b1-cf84-4134-80c7-c986967f0d82"/>
    <ds:schemaRef ds:uri="http://schemas.microsoft.com/office/2006/documentManagement/types"/>
    <ds:schemaRef ds:uri="5f8aa9c2-5221-4fe2-b95d-f7d8697d2dc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Ballentine, Rachael</dc:creator>
  <cp:lastModifiedBy>Ballentine, Rachael</cp:lastModifiedBy>
  <dcterms:created xsi:type="dcterms:W3CDTF">2026-03-18T20:30:52Z</dcterms:created>
  <dcterms:modified xsi:type="dcterms:W3CDTF">2026-03-18T21:39:20Z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0x01010018747301F332864B86F3F718EA45F87C</vt:lpwstr>
  </property>
</Properties>
</file>